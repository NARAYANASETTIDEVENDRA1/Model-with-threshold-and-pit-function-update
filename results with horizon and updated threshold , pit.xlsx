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1D9F7D03-EEDA-46A5-B6DF-0DFE1D48EED6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after threshold,pit update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A15" i="5" l="1"/>
  <c r="AF6" i="5"/>
  <c r="AF9" i="5"/>
  <c r="AF10" i="5"/>
  <c r="AF15" i="5"/>
  <c r="AF16" i="5"/>
  <c r="AF17" i="5"/>
  <c r="AF18" i="5"/>
  <c r="AF21" i="5"/>
  <c r="AF22" i="5"/>
  <c r="AF23" i="5"/>
  <c r="AF24" i="5"/>
  <c r="AF28" i="5"/>
  <c r="AF29" i="5"/>
  <c r="AF34" i="5"/>
  <c r="AF35" i="5"/>
  <c r="AF39" i="5"/>
  <c r="AF40" i="5"/>
  <c r="AF41" i="5"/>
  <c r="AF42" i="5"/>
  <c r="AF45" i="5"/>
  <c r="AF46" i="5"/>
  <c r="AF47" i="5"/>
  <c r="AF48" i="5"/>
  <c r="AF5" i="5"/>
  <c r="AA46" i="5"/>
  <c r="AA47" i="5"/>
  <c r="AA48" i="5"/>
  <c r="AA45" i="5"/>
  <c r="AA40" i="5"/>
  <c r="AA41" i="5"/>
  <c r="AA42" i="5"/>
  <c r="AA39" i="5"/>
  <c r="AA35" i="5"/>
  <c r="AA29" i="5"/>
  <c r="AA22" i="5"/>
  <c r="AA23" i="5"/>
  <c r="AA24" i="5"/>
  <c r="AA21" i="5"/>
  <c r="AA18" i="5"/>
  <c r="AA17" i="5"/>
  <c r="AA16" i="5"/>
  <c r="AA10" i="5"/>
  <c r="AA6" i="5"/>
  <c r="AA9" i="5"/>
  <c r="AA28" i="5"/>
  <c r="AA34" i="5"/>
  <c r="AA5" i="5"/>
</calcChain>
</file>

<file path=xl/sharedStrings.xml><?xml version="1.0" encoding="utf-8"?>
<sst xmlns="http://schemas.openxmlformats.org/spreadsheetml/2006/main" count="94" uniqueCount="48">
  <si>
    <t>horizon</t>
  </si>
  <si>
    <t>violations ratio</t>
  </si>
  <si>
    <t>violations</t>
  </si>
  <si>
    <t>kupiec_p</t>
  </si>
  <si>
    <t>christoffersen_p</t>
  </si>
  <si>
    <t>dq_stat1</t>
  </si>
  <si>
    <t>dq_p1</t>
  </si>
  <si>
    <t>dq_stat4</t>
  </si>
  <si>
    <t>dq_p4</t>
  </si>
  <si>
    <t>acerbi_stat</t>
  </si>
  <si>
    <t>acerbi_crit</t>
  </si>
  <si>
    <t>acerbi_p</t>
  </si>
  <si>
    <t xml:space="preserve">exceedence day short fall error </t>
  </si>
  <si>
    <t>empirical_es_loss</t>
  </si>
  <si>
    <t>mean_fz_loss</t>
  </si>
  <si>
    <t>median_fz_loss</t>
  </si>
  <si>
    <t>step size 1 and 2 assets</t>
  </si>
  <si>
    <t>baseline</t>
  </si>
  <si>
    <t>with no kde on tails</t>
  </si>
  <si>
    <t>with kde on tails</t>
  </si>
  <si>
    <t xml:space="preserve">step size 10 and 2 assets </t>
  </si>
  <si>
    <t>step size 1 and 4 assets</t>
  </si>
  <si>
    <t>step size 10 and 4 assets</t>
  </si>
  <si>
    <t>step size 10 and 2 assets</t>
  </si>
  <si>
    <t>n(Total observations)</t>
  </si>
  <si>
    <t>L</t>
  </si>
  <si>
    <t xml:space="preserve">equal  to  </t>
  </si>
  <si>
    <t>lower Total</t>
  </si>
  <si>
    <t>upper Total</t>
  </si>
  <si>
    <t>invalid</t>
  </si>
  <si>
    <t>sparse</t>
  </si>
  <si>
    <t>INFY.NS</t>
  </si>
  <si>
    <t>SBIN.NS</t>
  </si>
  <si>
    <t>No fallback</t>
  </si>
  <si>
    <t>lower tail</t>
  </si>
  <si>
    <t>upper tail</t>
  </si>
  <si>
    <t>TATAMOTORS.NS</t>
  </si>
  <si>
    <t>HINDUNILVR.NS</t>
  </si>
  <si>
    <t>sparse means points are passing all other tests except exceedences limit</t>
  </si>
  <si>
    <t>invalid and sparse reasons leads to fallback</t>
  </si>
  <si>
    <t xml:space="preserve">Christophersson and Dq test should not be used </t>
  </si>
  <si>
    <t xml:space="preserve">Christophersson and Dq test should not be used, kupeic and ascerby test can be mentioned with caveats </t>
  </si>
  <si>
    <t>greater than baseline</t>
  </si>
  <si>
    <t>lower tail fallback</t>
  </si>
  <si>
    <t>invalid means no point is passing all tests other than exceedences also</t>
  </si>
  <si>
    <t xml:space="preserve">upper tail fallback </t>
  </si>
  <si>
    <t>(sparse+invalid)*100/upper total</t>
  </si>
  <si>
    <t>(sparse +invalid)*100/total lower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</si>
</sst>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theme="0" tint="-0.14999847407452621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4" borderId="0" xfId="0" applyFont="1" applyFill="1"/>
    <xf numFmtId="0" fontId="0" fillId="6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0" fontId="0" fillId="7" borderId="0" xfId="0" applyNumberFormat="1" applyFill="1"/>
    <xf numFmtId="0" fontId="0" fillId="8" borderId="0" xfId="0" applyFill="1"/>
    <xf numFmtId="0" fontId="0" fillId="9" borderId="0" xfId="0" applyFill="1"/>
    <xf numFmtId="11" fontId="0" fillId="0" borderId="0" xfId="0" applyNumberFormat="1"/>
    <xf numFmtId="0" fontId="0" fillId="10" borderId="0" xfId="0" applyFill="1"/>
    <xf numFmtId="0" fontId="0" fillId="0" borderId="0" xfId="0" applyFill="1"/>
    <xf numFmtId="0" fontId="0" fillId="11" borderId="0" xfId="0" applyFill="1"/>
    <xf numFmtId="0" fontId="2" fillId="0" borderId="0" xfId="0" applyFont="1" applyFill="1"/>
    <xf numFmtId="0" fontId="0" fillId="0" borderId="0" xfId="0" applyFont="1" applyFill="1"/>
    <xf numFmtId="0" fontId="0" fillId="0" borderId="0" xfId="0" applyFill="1" applyBorder="1"/>
    <xf numFmtId="0" fontId="0" fillId="0" borderId="1" xfId="0" applyFill="1" applyBorder="1"/>
    <xf numFmtId="0" fontId="0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374C-C92A-493E-B3F7-276D20A82198}">
  <dimension ref="A1:AX48"/>
  <sheetViews>
    <sheetView tabSelected="1" workbookViewId="0">
      <selection activeCell="AG34" sqref="AG34"/>
    </sheetView>
  </sheetViews>
  <sheetFormatPr defaultRowHeight="14.4" x14ac:dyDescent="0.3"/>
  <cols>
    <col min="2" max="2" width="27.6640625" customWidth="1"/>
    <col min="3" max="3" width="22.44140625" customWidth="1"/>
    <col min="26" max="26" width="12.109375" customWidth="1"/>
    <col min="27" max="27" width="16" customWidth="1"/>
    <col min="32" max="32" width="16.33203125" customWidth="1"/>
  </cols>
  <sheetData>
    <row r="1" spans="1:50" x14ac:dyDescent="0.3">
      <c r="F1" s="1" t="s">
        <v>25</v>
      </c>
      <c r="G1" s="1" t="s">
        <v>26</v>
      </c>
      <c r="H1" s="1">
        <v>50</v>
      </c>
      <c r="U1" s="15"/>
      <c r="V1" s="10" t="s">
        <v>44</v>
      </c>
      <c r="W1" s="10"/>
      <c r="X1" s="10"/>
      <c r="Y1" s="10"/>
      <c r="Z1" s="10"/>
      <c r="AA1" s="10"/>
      <c r="AB1" s="10"/>
      <c r="AC1" s="10"/>
      <c r="AE1" s="10" t="s">
        <v>38</v>
      </c>
      <c r="AF1" s="10"/>
      <c r="AG1" s="10"/>
      <c r="AH1" s="10"/>
      <c r="AI1" s="10"/>
      <c r="AJ1" s="10"/>
      <c r="AK1" s="10"/>
    </row>
    <row r="2" spans="1:50" x14ac:dyDescent="0.3">
      <c r="A2" t="s">
        <v>0</v>
      </c>
      <c r="D2" s="13" t="s">
        <v>1</v>
      </c>
      <c r="E2" s="13" t="s">
        <v>2</v>
      </c>
      <c r="F2" s="13" t="s">
        <v>24</v>
      </c>
      <c r="G2" s="13" t="s">
        <v>3</v>
      </c>
      <c r="H2" s="13" t="s">
        <v>4</v>
      </c>
      <c r="I2" s="13" t="s">
        <v>5</v>
      </c>
      <c r="J2" s="13" t="s">
        <v>6</v>
      </c>
      <c r="K2" s="13" t="s">
        <v>7</v>
      </c>
      <c r="L2" s="13" t="s">
        <v>8</v>
      </c>
      <c r="M2" s="13" t="s">
        <v>9</v>
      </c>
      <c r="N2" s="13" t="s">
        <v>10</v>
      </c>
      <c r="O2" s="13" t="s">
        <v>11</v>
      </c>
      <c r="P2" s="13" t="s">
        <v>12</v>
      </c>
      <c r="Q2" s="13" t="s">
        <v>13</v>
      </c>
      <c r="R2" s="13" t="s">
        <v>14</v>
      </c>
      <c r="S2" s="13" t="s">
        <v>15</v>
      </c>
      <c r="V2" s="14"/>
      <c r="W2" s="11" t="s">
        <v>39</v>
      </c>
      <c r="X2" s="11"/>
      <c r="Y2" s="11"/>
      <c r="Z2" s="11"/>
      <c r="AA2" s="11"/>
      <c r="AB2" s="14"/>
      <c r="AC2" s="14"/>
      <c r="AD2" s="14"/>
      <c r="AE2" s="14"/>
    </row>
    <row r="3" spans="1:50" x14ac:dyDescent="0.3">
      <c r="A3">
        <v>1</v>
      </c>
      <c r="B3" t="s">
        <v>16</v>
      </c>
      <c r="C3" t="s">
        <v>17</v>
      </c>
      <c r="D3">
        <v>4.2897612000000002E-2</v>
      </c>
      <c r="E3">
        <v>106</v>
      </c>
      <c r="F3">
        <v>2471</v>
      </c>
      <c r="G3">
        <v>9.7191690999999997E-2</v>
      </c>
      <c r="H3">
        <v>0.78397162600000003</v>
      </c>
      <c r="I3">
        <v>2.6728131510000002</v>
      </c>
      <c r="J3">
        <v>0.26278828399999998</v>
      </c>
      <c r="K3">
        <v>3.2149941640000002</v>
      </c>
      <c r="L3">
        <v>0.66687901699999996</v>
      </c>
      <c r="M3">
        <v>-8.6289199999999998E-4</v>
      </c>
      <c r="N3">
        <v>-0.20169527600000001</v>
      </c>
      <c r="O3">
        <v>0.5111</v>
      </c>
      <c r="P3">
        <v>0.80500999200000001</v>
      </c>
      <c r="Q3">
        <v>-3.3906238879999999</v>
      </c>
      <c r="R3">
        <v>0.49344658699999999</v>
      </c>
      <c r="S3">
        <v>0.75214857800000001</v>
      </c>
      <c r="V3" s="14"/>
      <c r="W3" s="14" t="s">
        <v>34</v>
      </c>
      <c r="X3" s="14"/>
      <c r="Y3" s="14"/>
      <c r="Z3" s="14"/>
      <c r="AA3" s="1" t="s">
        <v>43</v>
      </c>
      <c r="AB3" s="14" t="s">
        <v>35</v>
      </c>
      <c r="AC3" s="14"/>
      <c r="AD3" s="14"/>
      <c r="AE3" s="14"/>
      <c r="AF3" s="20" t="s">
        <v>45</v>
      </c>
      <c r="AG3" s="17"/>
      <c r="AH3" s="16"/>
      <c r="AI3" s="16"/>
      <c r="AJ3" s="16"/>
      <c r="AK3" s="16"/>
    </row>
    <row r="4" spans="1:50" x14ac:dyDescent="0.3">
      <c r="C4" t="s">
        <v>18</v>
      </c>
      <c r="D4">
        <v>5.0182113E-2</v>
      </c>
      <c r="E4">
        <v>124</v>
      </c>
      <c r="F4">
        <v>2471</v>
      </c>
      <c r="G4">
        <v>0.96688725200000003</v>
      </c>
      <c r="H4">
        <v>0.92390917100000003</v>
      </c>
      <c r="I4">
        <v>1.1188353999999999E-2</v>
      </c>
      <c r="J4">
        <v>0.99442144099999996</v>
      </c>
      <c r="K4">
        <v>1.499632353</v>
      </c>
      <c r="L4">
        <v>0.91311223699999999</v>
      </c>
      <c r="M4">
        <v>4.6761193999999999E-2</v>
      </c>
      <c r="N4">
        <v>-0.20169527600000001</v>
      </c>
      <c r="O4">
        <v>0.65439999999999998</v>
      </c>
      <c r="P4">
        <v>0.83347745200000001</v>
      </c>
      <c r="Q4">
        <v>-3.297775884</v>
      </c>
      <c r="R4">
        <v>0.44841663599999998</v>
      </c>
      <c r="S4">
        <v>0.74035172299999996</v>
      </c>
      <c r="V4" s="14"/>
      <c r="W4" s="14" t="s">
        <v>29</v>
      </c>
      <c r="X4" s="14" t="s">
        <v>30</v>
      </c>
      <c r="Y4" s="14" t="s">
        <v>33</v>
      </c>
      <c r="Z4" s="14" t="s">
        <v>27</v>
      </c>
      <c r="AA4" s="14" t="s">
        <v>47</v>
      </c>
      <c r="AB4" s="14" t="s">
        <v>29</v>
      </c>
      <c r="AC4" s="14" t="s">
        <v>30</v>
      </c>
      <c r="AD4" s="14" t="s">
        <v>33</v>
      </c>
      <c r="AE4" s="14" t="s">
        <v>28</v>
      </c>
      <c r="AF4" s="14" t="s">
        <v>46</v>
      </c>
    </row>
    <row r="5" spans="1:50" x14ac:dyDescent="0.3">
      <c r="C5" t="s">
        <v>19</v>
      </c>
      <c r="D5">
        <v>4.9372724E-2</v>
      </c>
      <c r="E5">
        <v>122</v>
      </c>
      <c r="F5">
        <v>2471</v>
      </c>
      <c r="G5">
        <v>0.88600990099999999</v>
      </c>
      <c r="H5">
        <v>0.99113493699999999</v>
      </c>
      <c r="I5">
        <v>1.9299373000000002E-2</v>
      </c>
      <c r="J5">
        <v>0.99039672300000003</v>
      </c>
      <c r="K5">
        <v>1.08447713</v>
      </c>
      <c r="L5">
        <v>0.955468443</v>
      </c>
      <c r="M5">
        <v>3.4939020000000001E-2</v>
      </c>
      <c r="N5">
        <v>-0.20169527600000001</v>
      </c>
      <c r="O5">
        <v>0.61980000000000002</v>
      </c>
      <c r="P5">
        <v>0.83357672999999999</v>
      </c>
      <c r="Q5">
        <v>-3.315775903</v>
      </c>
      <c r="R5">
        <v>0.45599120599999998</v>
      </c>
      <c r="S5">
        <v>0.74293364799999995</v>
      </c>
      <c r="V5" s="4" t="s">
        <v>31</v>
      </c>
      <c r="W5" s="4"/>
      <c r="X5" s="4"/>
      <c r="Y5" s="4">
        <v>2471</v>
      </c>
      <c r="Z5" s="4">
        <v>2471</v>
      </c>
      <c r="AA5" s="14">
        <f>(W5+X5)*100/Z5</f>
        <v>0</v>
      </c>
      <c r="AB5" s="4">
        <v>282</v>
      </c>
      <c r="AC5" s="4">
        <v>122</v>
      </c>
      <c r="AD5" s="4">
        <v>2067</v>
      </c>
      <c r="AE5" s="4">
        <v>2471</v>
      </c>
      <c r="AF5">
        <f>(AB5+AC5)*100/AE5</f>
        <v>16.349656009712668</v>
      </c>
    </row>
    <row r="6" spans="1:50" x14ac:dyDescent="0.3">
      <c r="V6" s="4" t="s">
        <v>32</v>
      </c>
      <c r="W6" s="4">
        <v>26</v>
      </c>
      <c r="X6" s="4">
        <v>322</v>
      </c>
      <c r="Y6" s="4">
        <v>2123</v>
      </c>
      <c r="Z6" s="4">
        <v>2471</v>
      </c>
      <c r="AA6" s="14">
        <f>(W6+X6)*100/Z6</f>
        <v>14.083367057871307</v>
      </c>
      <c r="AB6" s="4">
        <v>27</v>
      </c>
      <c r="AC6" s="4">
        <v>13</v>
      </c>
      <c r="AD6" s="4">
        <v>2431</v>
      </c>
      <c r="AE6" s="4">
        <v>2471</v>
      </c>
      <c r="AF6">
        <f t="shared" ref="AF6:AF48" si="0">(AB6+AC6)*100/AE6</f>
        <v>1.6187778227438283</v>
      </c>
    </row>
    <row r="7" spans="1:50" x14ac:dyDescent="0.3">
      <c r="AA7" s="14"/>
    </row>
    <row r="8" spans="1:50" x14ac:dyDescent="0.3">
      <c r="AA8" s="14"/>
    </row>
    <row r="9" spans="1:50" x14ac:dyDescent="0.3">
      <c r="A9">
        <v>1</v>
      </c>
      <c r="B9" t="s">
        <v>20</v>
      </c>
      <c r="C9" t="s">
        <v>17</v>
      </c>
      <c r="D9">
        <v>3.6290322999999999E-2</v>
      </c>
      <c r="E9">
        <v>9</v>
      </c>
      <c r="F9">
        <v>248</v>
      </c>
      <c r="G9">
        <v>0.29862200900000002</v>
      </c>
      <c r="H9">
        <v>0.40929948500000002</v>
      </c>
      <c r="I9">
        <v>1.217602831</v>
      </c>
      <c r="J9">
        <v>0.54400251200000005</v>
      </c>
      <c r="K9">
        <v>8.1341506379999995</v>
      </c>
      <c r="L9">
        <v>0.14899565100000001</v>
      </c>
      <c r="M9">
        <v>-0.32899163799999998</v>
      </c>
      <c r="N9">
        <v>-0.573929986</v>
      </c>
      <c r="O9">
        <v>0.21679999999999999</v>
      </c>
      <c r="P9">
        <v>0.39746949399999998</v>
      </c>
      <c r="Q9">
        <v>-2.5764106689999999</v>
      </c>
      <c r="R9">
        <v>0.72442811600000001</v>
      </c>
      <c r="S9">
        <v>0.75748444999999998</v>
      </c>
      <c r="V9" s="7" t="s">
        <v>31</v>
      </c>
      <c r="W9" s="8"/>
      <c r="X9" s="8"/>
      <c r="Y9" s="8">
        <v>248</v>
      </c>
      <c r="Z9" s="9">
        <v>248</v>
      </c>
      <c r="AA9" s="18">
        <f t="shared" ref="AA9:AA34" si="1">(W9+X9)/Z9</f>
        <v>0</v>
      </c>
      <c r="AB9" s="8">
        <v>26</v>
      </c>
      <c r="AC9" s="8">
        <v>14</v>
      </c>
      <c r="AD9" s="8">
        <v>208</v>
      </c>
      <c r="AE9" s="9">
        <v>248</v>
      </c>
      <c r="AF9">
        <f t="shared" si="0"/>
        <v>16.129032258064516</v>
      </c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</row>
    <row r="10" spans="1:50" x14ac:dyDescent="0.3">
      <c r="C10" t="s">
        <v>18</v>
      </c>
      <c r="D10">
        <v>4.8387096999999997E-2</v>
      </c>
      <c r="E10">
        <v>12</v>
      </c>
      <c r="F10">
        <v>248</v>
      </c>
      <c r="G10">
        <v>0.90674503399999995</v>
      </c>
      <c r="H10">
        <v>0.26817365500000001</v>
      </c>
      <c r="I10">
        <v>0.63717805199999999</v>
      </c>
      <c r="J10">
        <v>0.72717433799999998</v>
      </c>
      <c r="K10">
        <v>5.2253556530000003</v>
      </c>
      <c r="L10">
        <v>0.38900122500000001</v>
      </c>
      <c r="M10">
        <v>-0.17359680599999999</v>
      </c>
      <c r="N10">
        <v>-0.573929986</v>
      </c>
      <c r="O10">
        <v>0.36580000000000001</v>
      </c>
      <c r="P10">
        <v>0.50294224799999998</v>
      </c>
      <c r="Q10">
        <v>-2.5841954710000001</v>
      </c>
      <c r="R10">
        <v>0.65240283399999999</v>
      </c>
      <c r="S10">
        <v>0.73645596499999999</v>
      </c>
      <c r="V10" s="7" t="s">
        <v>32</v>
      </c>
      <c r="W10" s="8">
        <v>3</v>
      </c>
      <c r="X10" s="8">
        <v>34</v>
      </c>
      <c r="Y10" s="8">
        <v>211</v>
      </c>
      <c r="Z10" s="9">
        <v>248</v>
      </c>
      <c r="AA10" s="19">
        <f>(W10+X10)*100/Z10</f>
        <v>14.919354838709678</v>
      </c>
      <c r="AB10" s="8">
        <v>4</v>
      </c>
      <c r="AC10" s="8">
        <v>1</v>
      </c>
      <c r="AD10" s="8">
        <v>243</v>
      </c>
      <c r="AE10" s="9">
        <v>248</v>
      </c>
      <c r="AF10">
        <f t="shared" si="0"/>
        <v>2.0161290322580645</v>
      </c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</row>
    <row r="11" spans="1:50" x14ac:dyDescent="0.3">
      <c r="C11" t="s">
        <v>19</v>
      </c>
      <c r="D11">
        <v>4.8387096999999997E-2</v>
      </c>
      <c r="E11">
        <v>12</v>
      </c>
      <c r="F11">
        <v>248</v>
      </c>
      <c r="G11">
        <v>0.90674503399999995</v>
      </c>
      <c r="H11">
        <v>0.26817365500000001</v>
      </c>
      <c r="I11">
        <v>0.63717805199999999</v>
      </c>
      <c r="J11">
        <v>0.72717433799999998</v>
      </c>
      <c r="K11">
        <v>5.2253556530000003</v>
      </c>
      <c r="L11">
        <v>0.38900122500000001</v>
      </c>
      <c r="M11">
        <v>-0.174794429</v>
      </c>
      <c r="N11">
        <v>-0.573929986</v>
      </c>
      <c r="O11">
        <v>0.36480000000000001</v>
      </c>
      <c r="P11">
        <v>0.50458273499999995</v>
      </c>
      <c r="Q11">
        <v>-2.5841954710000001</v>
      </c>
      <c r="R11">
        <v>0.65972083500000001</v>
      </c>
      <c r="S11">
        <v>0.73979990299999998</v>
      </c>
      <c r="AA11" s="14"/>
    </row>
    <row r="12" spans="1:50" x14ac:dyDescent="0.3">
      <c r="AA12" s="14"/>
    </row>
    <row r="13" spans="1:50" x14ac:dyDescent="0.3">
      <c r="AA13" s="14"/>
    </row>
    <row r="14" spans="1:50" x14ac:dyDescent="0.3">
      <c r="AA14" s="14"/>
    </row>
    <row r="15" spans="1:50" x14ac:dyDescent="0.3">
      <c r="A15">
        <v>1</v>
      </c>
      <c r="B15" t="s">
        <v>21</v>
      </c>
      <c r="C15" t="s">
        <v>17</v>
      </c>
      <c r="D15">
        <v>4.4516390000000003E-2</v>
      </c>
      <c r="E15">
        <v>110</v>
      </c>
      <c r="F15">
        <v>2471</v>
      </c>
      <c r="G15">
        <v>0.20286342099999999</v>
      </c>
      <c r="H15">
        <v>0.34791976099999999</v>
      </c>
      <c r="I15">
        <v>2.4377584950000002</v>
      </c>
      <c r="J15">
        <v>0.29556123200000001</v>
      </c>
      <c r="K15">
        <v>6.4764709160000002</v>
      </c>
      <c r="L15">
        <v>0.26257534300000002</v>
      </c>
      <c r="M15">
        <v>3.5697192000000003E-2</v>
      </c>
      <c r="N15">
        <v>-0.20169527600000001</v>
      </c>
      <c r="O15">
        <v>0.62160000000000004</v>
      </c>
      <c r="P15">
        <v>0.73023638599999996</v>
      </c>
      <c r="Q15">
        <v>-3.0813857690000002</v>
      </c>
      <c r="R15">
        <v>0.359715703</v>
      </c>
      <c r="S15">
        <v>0.64513679199999996</v>
      </c>
      <c r="V15" s="4" t="s">
        <v>31</v>
      </c>
      <c r="W15" s="4"/>
      <c r="X15" s="4"/>
      <c r="Y15" s="4">
        <v>2471</v>
      </c>
      <c r="Z15" s="4">
        <v>2471</v>
      </c>
      <c r="AA15" s="14">
        <f>(W15+X15)/Z15</f>
        <v>0</v>
      </c>
      <c r="AB15" s="4">
        <v>295</v>
      </c>
      <c r="AC15" s="4">
        <v>117</v>
      </c>
      <c r="AD15" s="4">
        <v>2059</v>
      </c>
      <c r="AE15" s="4">
        <v>2471</v>
      </c>
      <c r="AF15">
        <f t="shared" si="0"/>
        <v>16.673411574261433</v>
      </c>
    </row>
    <row r="16" spans="1:50" x14ac:dyDescent="0.3">
      <c r="C16" t="s">
        <v>18</v>
      </c>
      <c r="D16">
        <v>4.8158640000000003E-2</v>
      </c>
      <c r="E16">
        <v>119</v>
      </c>
      <c r="F16">
        <v>2471</v>
      </c>
      <c r="G16">
        <v>0.67268890999999997</v>
      </c>
      <c r="H16">
        <v>0.345281697</v>
      </c>
      <c r="I16">
        <v>1.127657761</v>
      </c>
      <c r="J16">
        <v>0.56902615400000001</v>
      </c>
      <c r="K16">
        <v>4.900016376</v>
      </c>
      <c r="L16">
        <v>0.42820390899999999</v>
      </c>
      <c r="M16">
        <v>6.839772E-3</v>
      </c>
      <c r="N16">
        <v>-0.20169527600000001</v>
      </c>
      <c r="O16">
        <v>0.53420000000000001</v>
      </c>
      <c r="P16">
        <v>0.78994936999999998</v>
      </c>
      <c r="Q16">
        <v>-3.0161181949999998</v>
      </c>
      <c r="R16">
        <v>0.35737677099999998</v>
      </c>
      <c r="S16">
        <v>0.63456259999999998</v>
      </c>
      <c r="V16" s="4" t="s">
        <v>32</v>
      </c>
      <c r="W16" s="4">
        <v>26</v>
      </c>
      <c r="X16" s="4">
        <v>322</v>
      </c>
      <c r="Y16" s="4">
        <v>2123</v>
      </c>
      <c r="Z16" s="4">
        <v>2471</v>
      </c>
      <c r="AA16" s="14">
        <f>(W16+X16)*100/Z16</f>
        <v>14.083367057871307</v>
      </c>
      <c r="AB16" s="4">
        <v>28</v>
      </c>
      <c r="AC16" s="4">
        <v>13</v>
      </c>
      <c r="AD16" s="4">
        <v>2430</v>
      </c>
      <c r="AE16" s="4">
        <v>2471</v>
      </c>
      <c r="AF16">
        <f t="shared" si="0"/>
        <v>1.6592472683124242</v>
      </c>
    </row>
    <row r="17" spans="1:32" x14ac:dyDescent="0.3">
      <c r="C17" t="s">
        <v>19</v>
      </c>
      <c r="D17">
        <v>4.7753945999999999E-2</v>
      </c>
      <c r="E17">
        <v>118</v>
      </c>
      <c r="F17">
        <v>2471</v>
      </c>
      <c r="G17">
        <v>0.60586342699999995</v>
      </c>
      <c r="H17">
        <v>0.32274536599999998</v>
      </c>
      <c r="I17">
        <v>1.3038043050000001</v>
      </c>
      <c r="J17">
        <v>0.52105371</v>
      </c>
      <c r="K17">
        <v>5.0945666770000004</v>
      </c>
      <c r="L17">
        <v>0.40444858900000002</v>
      </c>
      <c r="M17" s="12">
        <v>4.8099999999999997E-5</v>
      </c>
      <c r="N17">
        <v>-0.20169527600000001</v>
      </c>
      <c r="O17">
        <v>0.51390000000000002</v>
      </c>
      <c r="P17">
        <v>0.79238020499999995</v>
      </c>
      <c r="Q17">
        <v>-3.026125237</v>
      </c>
      <c r="R17" s="3">
        <v>0.36201185600000002</v>
      </c>
      <c r="S17">
        <v>0.63782835599999999</v>
      </c>
      <c r="V17" s="4" t="s">
        <v>36</v>
      </c>
      <c r="W17" s="4">
        <v>61</v>
      </c>
      <c r="X17" s="4">
        <v>157</v>
      </c>
      <c r="Y17" s="4">
        <v>2253</v>
      </c>
      <c r="Z17" s="4">
        <v>2471</v>
      </c>
      <c r="AA17" s="14">
        <f>(W17+X17)*100/Z17</f>
        <v>8.8223391339538644</v>
      </c>
      <c r="AB17" s="4">
        <v>3</v>
      </c>
      <c r="AC17" s="4">
        <v>14</v>
      </c>
      <c r="AD17" s="4">
        <v>2454</v>
      </c>
      <c r="AE17" s="4">
        <v>2471</v>
      </c>
      <c r="AF17">
        <f t="shared" si="0"/>
        <v>0.68798057466612705</v>
      </c>
    </row>
    <row r="18" spans="1:32" x14ac:dyDescent="0.3">
      <c r="R18" t="s">
        <v>42</v>
      </c>
      <c r="V18" s="4" t="s">
        <v>37</v>
      </c>
      <c r="W18" s="4">
        <v>25</v>
      </c>
      <c r="X18" s="4">
        <v>53</v>
      </c>
      <c r="Y18" s="4">
        <v>2393</v>
      </c>
      <c r="Z18" s="4">
        <v>2471</v>
      </c>
      <c r="AA18" s="14">
        <f>(W18+X18)*100/Z18</f>
        <v>3.1566167543504653</v>
      </c>
      <c r="AB18" s="4">
        <v>120</v>
      </c>
      <c r="AC18" s="4">
        <v>63</v>
      </c>
      <c r="AD18" s="4">
        <v>2288</v>
      </c>
      <c r="AE18" s="4">
        <v>2471</v>
      </c>
      <c r="AF18">
        <f t="shared" si="0"/>
        <v>7.4059085390530148</v>
      </c>
    </row>
    <row r="19" spans="1:32" x14ac:dyDescent="0.3">
      <c r="AA19" s="14"/>
    </row>
    <row r="20" spans="1:32" x14ac:dyDescent="0.3">
      <c r="AA20" s="14"/>
    </row>
    <row r="21" spans="1:32" x14ac:dyDescent="0.3">
      <c r="A21">
        <v>1</v>
      </c>
      <c r="B21" t="s">
        <v>22</v>
      </c>
      <c r="C21" t="s">
        <v>17</v>
      </c>
      <c r="D21">
        <v>3.2258065000000002E-2</v>
      </c>
      <c r="E21">
        <v>8</v>
      </c>
      <c r="F21">
        <v>248</v>
      </c>
      <c r="G21">
        <v>0.171522336</v>
      </c>
      <c r="H21">
        <v>0.46423490299999998</v>
      </c>
      <c r="I21">
        <v>1.795419511</v>
      </c>
      <c r="J21">
        <v>0.40750187100000002</v>
      </c>
      <c r="K21">
        <v>2.35551142</v>
      </c>
      <c r="L21">
        <v>0.798080389</v>
      </c>
      <c r="M21">
        <v>-0.16404780399999999</v>
      </c>
      <c r="N21">
        <v>-0.573929986</v>
      </c>
      <c r="O21">
        <v>0.376</v>
      </c>
      <c r="P21">
        <v>0.771905281</v>
      </c>
      <c r="Q21">
        <v>-3.1015804830000002</v>
      </c>
      <c r="R21">
        <v>0.37236381400000002</v>
      </c>
      <c r="S21">
        <v>0.657763404</v>
      </c>
      <c r="V21" s="4" t="s">
        <v>37</v>
      </c>
      <c r="W21" s="4">
        <v>3</v>
      </c>
      <c r="X21" s="4">
        <v>5</v>
      </c>
      <c r="Y21" s="4">
        <v>240</v>
      </c>
      <c r="Z21" s="4">
        <v>248</v>
      </c>
      <c r="AA21" s="14">
        <f>(W21+X21)*100/Z21</f>
        <v>3.225806451612903</v>
      </c>
      <c r="AB21" s="4">
        <v>14</v>
      </c>
      <c r="AC21" s="4">
        <v>4</v>
      </c>
      <c r="AD21" s="4">
        <v>230</v>
      </c>
      <c r="AE21" s="4">
        <v>248</v>
      </c>
      <c r="AF21">
        <f t="shared" si="0"/>
        <v>7.258064516129032</v>
      </c>
    </row>
    <row r="22" spans="1:32" x14ac:dyDescent="0.3">
      <c r="C22" t="s">
        <v>18</v>
      </c>
      <c r="D22">
        <v>3.6290322999999999E-2</v>
      </c>
      <c r="E22">
        <v>9</v>
      </c>
      <c r="F22">
        <v>248</v>
      </c>
      <c r="G22">
        <v>0.29862200900000002</v>
      </c>
      <c r="H22">
        <v>0.40929948500000002</v>
      </c>
      <c r="I22">
        <v>1.217602831</v>
      </c>
      <c r="J22">
        <v>0.54400251200000005</v>
      </c>
      <c r="K22">
        <v>2.093117409</v>
      </c>
      <c r="L22">
        <v>0.83611625599999995</v>
      </c>
      <c r="M22">
        <v>-0.15930509000000001</v>
      </c>
      <c r="N22">
        <v>-0.573929986</v>
      </c>
      <c r="O22">
        <v>0.38159999999999999</v>
      </c>
      <c r="P22">
        <v>0.73576405499999997</v>
      </c>
      <c r="Q22">
        <v>-2.9390648229999998</v>
      </c>
      <c r="R22">
        <v>0.366170785</v>
      </c>
      <c r="S22">
        <v>0.64757662800000004</v>
      </c>
      <c r="V22" s="4" t="s">
        <v>31</v>
      </c>
      <c r="W22" s="4"/>
      <c r="X22" s="4"/>
      <c r="Y22" s="4">
        <v>248</v>
      </c>
      <c r="Z22" s="4">
        <v>248</v>
      </c>
      <c r="AA22" s="14">
        <f t="shared" ref="AA22:AA24" si="2">(W22+X22)*100/Z22</f>
        <v>0</v>
      </c>
      <c r="AB22" s="4">
        <v>27</v>
      </c>
      <c r="AC22" s="4">
        <v>13</v>
      </c>
      <c r="AD22" s="4">
        <v>208</v>
      </c>
      <c r="AE22" s="4">
        <v>248</v>
      </c>
      <c r="AF22">
        <f t="shared" si="0"/>
        <v>16.129032258064516</v>
      </c>
    </row>
    <row r="23" spans="1:32" x14ac:dyDescent="0.3">
      <c r="C23" t="s">
        <v>19</v>
      </c>
      <c r="D23">
        <v>3.6290322999999999E-2</v>
      </c>
      <c r="E23">
        <v>9</v>
      </c>
      <c r="F23">
        <v>248</v>
      </c>
      <c r="G23">
        <v>0.29862200900000002</v>
      </c>
      <c r="H23">
        <v>0.40929948500000002</v>
      </c>
      <c r="I23">
        <v>1.217602831</v>
      </c>
      <c r="J23">
        <v>0.54400251200000005</v>
      </c>
      <c r="K23">
        <v>2.093117409</v>
      </c>
      <c r="L23">
        <v>0.83611625599999995</v>
      </c>
      <c r="M23">
        <v>-0.160196541</v>
      </c>
      <c r="N23">
        <v>-0.573929986</v>
      </c>
      <c r="O23">
        <v>0.38090000000000002</v>
      </c>
      <c r="P23">
        <v>0.73326053899999999</v>
      </c>
      <c r="Q23">
        <v>-2.9390648229999998</v>
      </c>
      <c r="R23">
        <v>0.36988733000000001</v>
      </c>
      <c r="S23">
        <v>0.64742178399999994</v>
      </c>
      <c r="V23" s="4" t="s">
        <v>32</v>
      </c>
      <c r="W23" s="4">
        <v>3</v>
      </c>
      <c r="X23" s="4">
        <v>34</v>
      </c>
      <c r="Y23" s="4">
        <v>211</v>
      </c>
      <c r="Z23" s="4">
        <v>248</v>
      </c>
      <c r="AA23" s="14">
        <f t="shared" si="2"/>
        <v>14.919354838709678</v>
      </c>
      <c r="AB23" s="4">
        <v>4</v>
      </c>
      <c r="AC23" s="4">
        <v>1</v>
      </c>
      <c r="AD23" s="4">
        <v>243</v>
      </c>
      <c r="AE23" s="4">
        <v>248</v>
      </c>
      <c r="AF23">
        <f t="shared" si="0"/>
        <v>2.0161290322580645</v>
      </c>
    </row>
    <row r="24" spans="1:32" x14ac:dyDescent="0.3">
      <c r="V24" s="4" t="s">
        <v>36</v>
      </c>
      <c r="W24" s="4">
        <v>7</v>
      </c>
      <c r="X24" s="4">
        <v>14</v>
      </c>
      <c r="Y24" s="4">
        <v>227</v>
      </c>
      <c r="Z24" s="4">
        <v>248</v>
      </c>
      <c r="AA24" s="14">
        <f t="shared" si="2"/>
        <v>8.4677419354838701</v>
      </c>
      <c r="AB24" s="4"/>
      <c r="AC24" s="4">
        <v>1</v>
      </c>
      <c r="AD24" s="4">
        <v>247</v>
      </c>
      <c r="AE24" s="4">
        <v>248</v>
      </c>
      <c r="AF24">
        <f t="shared" si="0"/>
        <v>0.40322580645161288</v>
      </c>
    </row>
    <row r="25" spans="1:32" x14ac:dyDescent="0.3">
      <c r="AA25" s="14"/>
    </row>
    <row r="26" spans="1:32" x14ac:dyDescent="0.3">
      <c r="AA26" s="14"/>
    </row>
    <row r="27" spans="1:32" x14ac:dyDescent="0.3">
      <c r="A27">
        <v>10</v>
      </c>
      <c r="B27" t="s">
        <v>16</v>
      </c>
      <c r="C27" t="s">
        <v>17</v>
      </c>
      <c r="D27">
        <v>3.8586515000000002E-2</v>
      </c>
      <c r="E27">
        <v>95</v>
      </c>
      <c r="F27">
        <v>2462</v>
      </c>
      <c r="G27" s="5">
        <v>6.8823180000000001E-3</v>
      </c>
      <c r="H27">
        <v>0</v>
      </c>
      <c r="I27">
        <v>738.21028049999995</v>
      </c>
      <c r="J27">
        <v>0</v>
      </c>
      <c r="K27">
        <v>775.95443880000005</v>
      </c>
      <c r="L27">
        <v>0</v>
      </c>
      <c r="M27">
        <v>-0.131784975</v>
      </c>
      <c r="N27">
        <v>-0.19653527200000001</v>
      </c>
      <c r="O27">
        <v>0.14710000000000001</v>
      </c>
      <c r="P27">
        <v>3.2172771739999999</v>
      </c>
      <c r="Q27">
        <v>-10.507642540000001</v>
      </c>
      <c r="R27">
        <v>1.6885309770000001</v>
      </c>
      <c r="S27">
        <v>1.943935865</v>
      </c>
      <c r="AA27" s="14"/>
    </row>
    <row r="28" spans="1:32" x14ac:dyDescent="0.3">
      <c r="B28" s="1" t="s">
        <v>41</v>
      </c>
      <c r="C28" t="s">
        <v>18</v>
      </c>
      <c r="D28">
        <v>4.3866774999999997E-2</v>
      </c>
      <c r="E28">
        <v>108</v>
      </c>
      <c r="F28">
        <v>2462</v>
      </c>
      <c r="G28">
        <v>0.154193946</v>
      </c>
      <c r="H28">
        <v>0</v>
      </c>
      <c r="I28">
        <v>843.83667730000002</v>
      </c>
      <c r="J28">
        <v>0</v>
      </c>
      <c r="K28">
        <v>883.10528239999996</v>
      </c>
      <c r="L28">
        <v>0</v>
      </c>
      <c r="M28">
        <v>-2.2144023999999998E-2</v>
      </c>
      <c r="N28">
        <v>-0.19653527200000001</v>
      </c>
      <c r="O28">
        <v>0.43759999999999999</v>
      </c>
      <c r="P28">
        <v>3.0510635499999998</v>
      </c>
      <c r="Q28">
        <v>-10.14798014</v>
      </c>
      <c r="R28">
        <v>1.5894796950000001</v>
      </c>
      <c r="S28">
        <v>1.8981007759999999</v>
      </c>
      <c r="V28" s="4" t="s">
        <v>31</v>
      </c>
      <c r="W28" s="4"/>
      <c r="X28" s="4"/>
      <c r="Y28" s="4">
        <v>2462</v>
      </c>
      <c r="Z28" s="4">
        <v>2462</v>
      </c>
      <c r="AA28" s="14">
        <f t="shared" si="1"/>
        <v>0</v>
      </c>
      <c r="AB28" s="4">
        <v>282</v>
      </c>
      <c r="AC28" s="4">
        <v>122</v>
      </c>
      <c r="AD28" s="4">
        <v>2058</v>
      </c>
      <c r="AE28" s="4">
        <v>2462</v>
      </c>
      <c r="AF28">
        <f t="shared" si="0"/>
        <v>16.409423233143787</v>
      </c>
    </row>
    <row r="29" spans="1:32" x14ac:dyDescent="0.3">
      <c r="C29" t="s">
        <v>19</v>
      </c>
      <c r="D29">
        <v>4.3054426999999999E-2</v>
      </c>
      <c r="E29">
        <v>106</v>
      </c>
      <c r="F29">
        <v>2462</v>
      </c>
      <c r="G29">
        <v>0.105628662</v>
      </c>
      <c r="H29">
        <v>0</v>
      </c>
      <c r="I29">
        <v>811.52455740000005</v>
      </c>
      <c r="J29">
        <v>0</v>
      </c>
      <c r="K29">
        <v>857.31283570000005</v>
      </c>
      <c r="L29">
        <v>0</v>
      </c>
      <c r="M29">
        <v>-3.5376851000000001E-2</v>
      </c>
      <c r="N29">
        <v>-0.19653527200000001</v>
      </c>
      <c r="O29">
        <v>0.39679999999999999</v>
      </c>
      <c r="P29">
        <v>3.0537988760000001</v>
      </c>
      <c r="Q29">
        <v>-10.23681946</v>
      </c>
      <c r="R29">
        <v>1.5931923059999999</v>
      </c>
      <c r="S29">
        <v>1.8994315639999999</v>
      </c>
      <c r="V29" s="4" t="s">
        <v>32</v>
      </c>
      <c r="W29" s="4">
        <v>26</v>
      </c>
      <c r="X29" s="4">
        <v>322</v>
      </c>
      <c r="Y29" s="4">
        <v>2114</v>
      </c>
      <c r="Z29" s="4">
        <v>2462</v>
      </c>
      <c r="AA29" s="14">
        <f>(W29+X29)*100/Z29</f>
        <v>14.13484971567831</v>
      </c>
      <c r="AB29" s="4">
        <v>27</v>
      </c>
      <c r="AC29" s="4">
        <v>13</v>
      </c>
      <c r="AD29" s="4">
        <v>2422</v>
      </c>
      <c r="AE29" s="4">
        <v>2462</v>
      </c>
      <c r="AF29">
        <f t="shared" si="0"/>
        <v>1.6246953696181965</v>
      </c>
    </row>
    <row r="30" spans="1:32" x14ac:dyDescent="0.3">
      <c r="AA30" s="14"/>
    </row>
    <row r="31" spans="1:32" x14ac:dyDescent="0.3">
      <c r="AA31" s="14"/>
    </row>
    <row r="32" spans="1:32" x14ac:dyDescent="0.3">
      <c r="AA32" s="14"/>
    </row>
    <row r="33" spans="1:32" x14ac:dyDescent="0.3">
      <c r="A33">
        <v>10</v>
      </c>
      <c r="B33" t="s">
        <v>23</v>
      </c>
      <c r="D33">
        <v>3.6437246999999999E-2</v>
      </c>
      <c r="E33">
        <v>9</v>
      </c>
      <c r="F33" s="2">
        <v>247</v>
      </c>
      <c r="G33">
        <v>0.30508511999999999</v>
      </c>
      <c r="H33">
        <v>0.32002995400000001</v>
      </c>
      <c r="I33">
        <v>2.0242801099999999</v>
      </c>
      <c r="J33">
        <v>0.36344036400000002</v>
      </c>
      <c r="K33">
        <v>3.5510630879999998</v>
      </c>
      <c r="L33">
        <v>0.61567561199999998</v>
      </c>
      <c r="M33">
        <v>-0.13532554999999999</v>
      </c>
      <c r="N33">
        <v>-0.57452957599999999</v>
      </c>
      <c r="O33">
        <v>0.40450000000000003</v>
      </c>
      <c r="P33">
        <v>3.451585809</v>
      </c>
      <c r="Q33">
        <v>-10.94856485</v>
      </c>
      <c r="R33">
        <v>1.6682182189999999</v>
      </c>
      <c r="S33">
        <v>1.948949008</v>
      </c>
      <c r="AA33" s="14"/>
    </row>
    <row r="34" spans="1:32" x14ac:dyDescent="0.3">
      <c r="C34" t="s">
        <v>18</v>
      </c>
      <c r="D34">
        <v>4.048583E-2</v>
      </c>
      <c r="E34">
        <v>10</v>
      </c>
      <c r="F34">
        <v>247</v>
      </c>
      <c r="G34">
        <v>0.47860623899999999</v>
      </c>
      <c r="H34">
        <v>0.40620495000000001</v>
      </c>
      <c r="I34">
        <v>1.2256913469999999</v>
      </c>
      <c r="J34">
        <v>0.541806868</v>
      </c>
      <c r="K34">
        <v>3.3659571939999999</v>
      </c>
      <c r="L34">
        <v>0.64375978599999995</v>
      </c>
      <c r="M34">
        <v>-6.8556068999999997E-2</v>
      </c>
      <c r="N34">
        <v>-0.57452957599999999</v>
      </c>
      <c r="O34">
        <v>0.47070000000000001</v>
      </c>
      <c r="P34">
        <v>3.2995773160000001</v>
      </c>
      <c r="Q34">
        <v>-10.79589326</v>
      </c>
      <c r="R34">
        <v>1.5930289660000001</v>
      </c>
      <c r="S34">
        <v>1.9043355310000001</v>
      </c>
      <c r="V34" s="7" t="s">
        <v>31</v>
      </c>
      <c r="W34" s="8"/>
      <c r="X34" s="8"/>
      <c r="Y34" s="8">
        <v>247</v>
      </c>
      <c r="Z34" s="9">
        <v>247</v>
      </c>
      <c r="AA34" s="14">
        <f t="shared" si="1"/>
        <v>0</v>
      </c>
      <c r="AB34" s="8">
        <v>26</v>
      </c>
      <c r="AC34" s="8">
        <v>14</v>
      </c>
      <c r="AD34" s="8">
        <v>207</v>
      </c>
      <c r="AE34" s="9">
        <v>247</v>
      </c>
      <c r="AF34">
        <f t="shared" si="0"/>
        <v>16.194331983805668</v>
      </c>
    </row>
    <row r="35" spans="1:32" x14ac:dyDescent="0.3">
      <c r="C35" t="s">
        <v>19</v>
      </c>
      <c r="D35">
        <v>4.048583E-2</v>
      </c>
      <c r="E35">
        <v>10</v>
      </c>
      <c r="F35">
        <v>247</v>
      </c>
      <c r="G35">
        <v>0.47860623899999999</v>
      </c>
      <c r="H35">
        <v>0.40620495000000001</v>
      </c>
      <c r="I35">
        <v>1.2256913469999999</v>
      </c>
      <c r="J35">
        <v>0.541806868</v>
      </c>
      <c r="K35">
        <v>3.3659571939999999</v>
      </c>
      <c r="L35">
        <v>0.64375978599999995</v>
      </c>
      <c r="M35">
        <v>-7.5199936999999994E-2</v>
      </c>
      <c r="N35">
        <v>-0.57452957599999999</v>
      </c>
      <c r="O35">
        <v>0.46360000000000001</v>
      </c>
      <c r="P35">
        <v>3.2776619729999998</v>
      </c>
      <c r="Q35">
        <v>-10.79589326</v>
      </c>
      <c r="R35">
        <v>1.6025623179999999</v>
      </c>
      <c r="S35">
        <v>1.906110441</v>
      </c>
      <c r="V35" s="7" t="s">
        <v>32</v>
      </c>
      <c r="W35" s="8">
        <v>3</v>
      </c>
      <c r="X35" s="8">
        <v>34</v>
      </c>
      <c r="Y35" s="8">
        <v>210</v>
      </c>
      <c r="Z35" s="9">
        <v>247</v>
      </c>
      <c r="AA35" s="14">
        <f>(W35+X35)*100/Z35</f>
        <v>14.979757085020243</v>
      </c>
      <c r="AB35" s="8">
        <v>4</v>
      </c>
      <c r="AC35" s="8">
        <v>1</v>
      </c>
      <c r="AD35" s="8">
        <v>242</v>
      </c>
      <c r="AE35" s="9">
        <v>247</v>
      </c>
      <c r="AF35">
        <f t="shared" si="0"/>
        <v>2.0242914979757085</v>
      </c>
    </row>
    <row r="36" spans="1:32" x14ac:dyDescent="0.3">
      <c r="AA36" s="14"/>
    </row>
    <row r="37" spans="1:32" x14ac:dyDescent="0.3">
      <c r="AA37" s="14"/>
    </row>
    <row r="38" spans="1:32" x14ac:dyDescent="0.3">
      <c r="AA38" s="14"/>
    </row>
    <row r="39" spans="1:32" x14ac:dyDescent="0.3">
      <c r="A39">
        <v>10</v>
      </c>
      <c r="B39" t="s">
        <v>21</v>
      </c>
      <c r="C39" t="s">
        <v>17</v>
      </c>
      <c r="D39">
        <v>4.9959383000000003E-2</v>
      </c>
      <c r="E39">
        <v>123</v>
      </c>
      <c r="F39">
        <v>2462</v>
      </c>
      <c r="G39">
        <v>0.99262097900000001</v>
      </c>
      <c r="H39">
        <v>0</v>
      </c>
      <c r="I39">
        <v>1121.639592</v>
      </c>
      <c r="J39">
        <v>0</v>
      </c>
      <c r="K39">
        <v>1155.753798</v>
      </c>
      <c r="L39">
        <v>0</v>
      </c>
      <c r="M39">
        <v>0.171770847</v>
      </c>
      <c r="N39">
        <v>-0.19653527200000001</v>
      </c>
      <c r="O39">
        <v>0.90969999999999995</v>
      </c>
      <c r="P39">
        <v>2.665440909</v>
      </c>
      <c r="Q39">
        <v>-9.5145080469999996</v>
      </c>
      <c r="R39">
        <v>1.426809534</v>
      </c>
      <c r="S39">
        <v>1.808890313</v>
      </c>
      <c r="V39" s="4" t="s">
        <v>37</v>
      </c>
      <c r="W39" s="4">
        <v>25</v>
      </c>
      <c r="X39" s="4">
        <v>53</v>
      </c>
      <c r="Y39" s="4">
        <v>2384</v>
      </c>
      <c r="Z39" s="4">
        <v>2462</v>
      </c>
      <c r="AA39" s="14">
        <f>(W39+X39)*100/Z39</f>
        <v>3.1681559707554832</v>
      </c>
      <c r="AB39" s="4">
        <v>120</v>
      </c>
      <c r="AC39" s="4">
        <v>63</v>
      </c>
      <c r="AD39" s="4">
        <v>2279</v>
      </c>
      <c r="AE39" s="4">
        <v>2462</v>
      </c>
      <c r="AF39">
        <f t="shared" si="0"/>
        <v>7.4329813160032492</v>
      </c>
    </row>
    <row r="40" spans="1:32" x14ac:dyDescent="0.3">
      <c r="B40" s="1" t="s">
        <v>40</v>
      </c>
      <c r="C40" t="s">
        <v>18</v>
      </c>
      <c r="D40">
        <v>5.5239642999999998E-2</v>
      </c>
      <c r="E40">
        <v>136</v>
      </c>
      <c r="F40">
        <v>2462</v>
      </c>
      <c r="G40">
        <v>0.24040528</v>
      </c>
      <c r="H40">
        <v>0</v>
      </c>
      <c r="I40">
        <v>1144.734612</v>
      </c>
      <c r="J40">
        <v>0</v>
      </c>
      <c r="K40">
        <v>1201.728239</v>
      </c>
      <c r="L40">
        <v>0</v>
      </c>
      <c r="M40">
        <v>0.25958067000000001</v>
      </c>
      <c r="N40">
        <v>-0.19653527200000001</v>
      </c>
      <c r="O40">
        <v>0.97670000000000001</v>
      </c>
      <c r="P40">
        <v>2.7372706920000001</v>
      </c>
      <c r="Q40">
        <v>-9.2380222889999999</v>
      </c>
      <c r="R40">
        <v>1.3795796119999999</v>
      </c>
      <c r="S40">
        <v>1.785176431</v>
      </c>
      <c r="V40" s="4" t="s">
        <v>31</v>
      </c>
      <c r="W40" s="4"/>
      <c r="X40" s="4"/>
      <c r="Y40" s="4">
        <v>2462</v>
      </c>
      <c r="Z40" s="4">
        <v>2462</v>
      </c>
      <c r="AA40" s="14">
        <f t="shared" ref="AA40:AA42" si="3">(W40+X40)*100/Z40</f>
        <v>0</v>
      </c>
      <c r="AB40" s="4">
        <v>295</v>
      </c>
      <c r="AC40" s="4">
        <v>117</v>
      </c>
      <c r="AD40" s="4">
        <v>2050</v>
      </c>
      <c r="AE40" s="4">
        <v>2462</v>
      </c>
      <c r="AF40">
        <f t="shared" si="0"/>
        <v>16.734362307067425</v>
      </c>
    </row>
    <row r="41" spans="1:32" x14ac:dyDescent="0.3">
      <c r="C41" t="s">
        <v>19</v>
      </c>
      <c r="D41">
        <v>5.4021120999999998E-2</v>
      </c>
      <c r="E41">
        <v>133</v>
      </c>
      <c r="F41">
        <v>2462</v>
      </c>
      <c r="G41" s="2">
        <v>0.36587669499999997</v>
      </c>
      <c r="H41">
        <v>0</v>
      </c>
      <c r="I41">
        <v>1149.7365809999999</v>
      </c>
      <c r="J41">
        <v>0</v>
      </c>
      <c r="K41">
        <v>1219.1190280000001</v>
      </c>
      <c r="L41">
        <v>0</v>
      </c>
      <c r="M41">
        <v>0.238752679</v>
      </c>
      <c r="N41">
        <v>-0.19653527200000001</v>
      </c>
      <c r="O41">
        <v>0.96640000000000004</v>
      </c>
      <c r="P41">
        <v>2.773747384</v>
      </c>
      <c r="Q41">
        <v>-9.3057945360000005</v>
      </c>
      <c r="R41">
        <v>1.3846995129999999</v>
      </c>
      <c r="S41">
        <v>1.7900294240000001</v>
      </c>
      <c r="V41" s="4" t="s">
        <v>32</v>
      </c>
      <c r="W41" s="4">
        <v>26</v>
      </c>
      <c r="X41" s="4">
        <v>322</v>
      </c>
      <c r="Y41" s="4">
        <v>2114</v>
      </c>
      <c r="Z41" s="4">
        <v>2462</v>
      </c>
      <c r="AA41" s="14">
        <f t="shared" si="3"/>
        <v>14.13484971567831</v>
      </c>
      <c r="AB41" s="4">
        <v>28</v>
      </c>
      <c r="AC41" s="4">
        <v>13</v>
      </c>
      <c r="AD41" s="4">
        <v>2421</v>
      </c>
      <c r="AE41" s="4">
        <v>2462</v>
      </c>
      <c r="AF41">
        <f t="shared" si="0"/>
        <v>1.6653127538586514</v>
      </c>
    </row>
    <row r="42" spans="1:32" x14ac:dyDescent="0.3"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V42" s="4" t="s">
        <v>36</v>
      </c>
      <c r="W42" s="4">
        <v>61</v>
      </c>
      <c r="X42" s="4">
        <v>157</v>
      </c>
      <c r="Y42" s="4">
        <v>2244</v>
      </c>
      <c r="Z42" s="4">
        <v>2462</v>
      </c>
      <c r="AA42" s="14">
        <f t="shared" si="3"/>
        <v>8.8545897644191722</v>
      </c>
      <c r="AB42" s="4">
        <v>3</v>
      </c>
      <c r="AC42" s="4">
        <v>14</v>
      </c>
      <c r="AD42" s="4">
        <v>2445</v>
      </c>
      <c r="AE42" s="4">
        <v>2462</v>
      </c>
      <c r="AF42">
        <f t="shared" si="0"/>
        <v>0.69049553208773351</v>
      </c>
    </row>
    <row r="43" spans="1:32" x14ac:dyDescent="0.3">
      <c r="AA43" s="14"/>
    </row>
    <row r="44" spans="1:32" x14ac:dyDescent="0.3">
      <c r="AA44" s="14"/>
    </row>
    <row r="45" spans="1:32" x14ac:dyDescent="0.3">
      <c r="A45">
        <v>10</v>
      </c>
      <c r="B45" t="s">
        <v>22</v>
      </c>
      <c r="C45" t="s">
        <v>17</v>
      </c>
      <c r="D45">
        <v>4.4534413000000002E-2</v>
      </c>
      <c r="E45">
        <v>11</v>
      </c>
      <c r="F45">
        <v>247</v>
      </c>
      <c r="G45">
        <v>0.68822406800000002</v>
      </c>
      <c r="H45">
        <v>0.45126278800000003</v>
      </c>
      <c r="I45">
        <v>1.0650514099999999</v>
      </c>
      <c r="J45">
        <v>0.58712020300000001</v>
      </c>
      <c r="K45">
        <v>3.0427997659999999</v>
      </c>
      <c r="L45">
        <v>0.69338728699999996</v>
      </c>
      <c r="M45">
        <v>0.10537250200000001</v>
      </c>
      <c r="N45">
        <v>-0.57452957599999999</v>
      </c>
      <c r="O45">
        <v>0.64149999999999996</v>
      </c>
      <c r="P45">
        <v>3.2762969069999999</v>
      </c>
      <c r="Q45">
        <v>-10.200209259999999</v>
      </c>
      <c r="R45">
        <v>1.4179521340000001</v>
      </c>
      <c r="S45">
        <v>1.8265644780000001</v>
      </c>
      <c r="V45" s="4" t="s">
        <v>37</v>
      </c>
      <c r="W45" s="4">
        <v>3</v>
      </c>
      <c r="X45" s="4">
        <v>5</v>
      </c>
      <c r="Y45" s="4">
        <v>239</v>
      </c>
      <c r="Z45" s="4">
        <v>247</v>
      </c>
      <c r="AA45" s="14">
        <f>(W45+X45)*100/Z45</f>
        <v>3.2388663967611335</v>
      </c>
      <c r="AB45" s="4">
        <v>14</v>
      </c>
      <c r="AC45" s="4">
        <v>4</v>
      </c>
      <c r="AD45" s="4">
        <v>229</v>
      </c>
      <c r="AE45" s="4">
        <v>247</v>
      </c>
      <c r="AF45">
        <f t="shared" si="0"/>
        <v>7.287449392712551</v>
      </c>
    </row>
    <row r="46" spans="1:32" x14ac:dyDescent="0.3">
      <c r="C46" t="s">
        <v>18</v>
      </c>
      <c r="D46">
        <v>5.6680161999999999E-2</v>
      </c>
      <c r="E46">
        <v>14</v>
      </c>
      <c r="F46">
        <v>247</v>
      </c>
      <c r="G46">
        <v>0.63686544300000003</v>
      </c>
      <c r="H46">
        <v>0.75998490299999999</v>
      </c>
      <c r="I46">
        <v>0.149857402</v>
      </c>
      <c r="J46">
        <v>0.92780963599999999</v>
      </c>
      <c r="K46">
        <v>3.3374188899999999</v>
      </c>
      <c r="L46">
        <v>0.64811792000000001</v>
      </c>
      <c r="M46">
        <v>0.28255867800000001</v>
      </c>
      <c r="N46">
        <v>-0.57452957599999999</v>
      </c>
      <c r="O46">
        <v>0.77680000000000005</v>
      </c>
      <c r="P46">
        <v>3.0724224310000001</v>
      </c>
      <c r="Q46">
        <v>-9.5519044540000007</v>
      </c>
      <c r="R46">
        <v>1.3764953040000001</v>
      </c>
      <c r="S46">
        <v>1.7871205569999999</v>
      </c>
      <c r="V46" s="4" t="s">
        <v>31</v>
      </c>
      <c r="W46" s="4"/>
      <c r="X46" s="4"/>
      <c r="Y46" s="4">
        <v>247</v>
      </c>
      <c r="Z46" s="4">
        <v>247</v>
      </c>
      <c r="AA46" s="14">
        <f t="shared" ref="AA46:AA48" si="4">(W46+X46)*100/Z46</f>
        <v>0</v>
      </c>
      <c r="AB46" s="4">
        <v>27</v>
      </c>
      <c r="AC46" s="4">
        <v>13</v>
      </c>
      <c r="AD46" s="4">
        <v>207</v>
      </c>
      <c r="AE46" s="4">
        <v>247</v>
      </c>
      <c r="AF46">
        <f t="shared" si="0"/>
        <v>16.194331983805668</v>
      </c>
    </row>
    <row r="47" spans="1:32" x14ac:dyDescent="0.3">
      <c r="C47" t="s">
        <v>19</v>
      </c>
      <c r="D47">
        <v>5.6680161999999999E-2</v>
      </c>
      <c r="E47">
        <v>14</v>
      </c>
      <c r="F47">
        <v>247</v>
      </c>
      <c r="G47">
        <v>0.63686544300000003</v>
      </c>
      <c r="H47">
        <v>0.75998490299999999</v>
      </c>
      <c r="I47">
        <v>0.149857402</v>
      </c>
      <c r="J47">
        <v>0.92780963599999999</v>
      </c>
      <c r="K47">
        <v>3.3374188899999999</v>
      </c>
      <c r="L47" s="2">
        <v>0.64811792000000001</v>
      </c>
      <c r="M47">
        <v>0.280377873</v>
      </c>
      <c r="N47">
        <v>-0.57452957599999999</v>
      </c>
      <c r="O47">
        <v>0.77559999999999996</v>
      </c>
      <c r="P47">
        <v>3.07611671</v>
      </c>
      <c r="Q47">
        <v>-9.5519044540000007</v>
      </c>
      <c r="R47">
        <v>1.3810012899999999</v>
      </c>
      <c r="S47">
        <v>1.7919766420000001</v>
      </c>
      <c r="V47" s="4" t="s">
        <v>32</v>
      </c>
      <c r="W47" s="4">
        <v>3</v>
      </c>
      <c r="X47" s="4">
        <v>34</v>
      </c>
      <c r="Y47" s="4">
        <v>210</v>
      </c>
      <c r="Z47" s="4">
        <v>247</v>
      </c>
      <c r="AA47" s="14">
        <f t="shared" si="4"/>
        <v>14.979757085020243</v>
      </c>
      <c r="AB47" s="4">
        <v>4</v>
      </c>
      <c r="AC47" s="4">
        <v>1</v>
      </c>
      <c r="AD47" s="4">
        <v>242</v>
      </c>
      <c r="AE47" s="4">
        <v>247</v>
      </c>
      <c r="AF47">
        <f t="shared" si="0"/>
        <v>2.0242914979757085</v>
      </c>
    </row>
    <row r="48" spans="1:32" x14ac:dyDescent="0.3">
      <c r="L48" s="2"/>
      <c r="M48" s="2"/>
      <c r="N48" s="2"/>
      <c r="O48" s="2"/>
      <c r="P48" s="2"/>
      <c r="Q48" s="2"/>
      <c r="R48" s="2"/>
      <c r="S48" s="2"/>
      <c r="T48" s="2"/>
      <c r="V48" s="4" t="s">
        <v>36</v>
      </c>
      <c r="W48" s="4">
        <v>7</v>
      </c>
      <c r="X48" s="4">
        <v>14</v>
      </c>
      <c r="Y48" s="4">
        <v>226</v>
      </c>
      <c r="Z48" s="4">
        <v>247</v>
      </c>
      <c r="AA48" s="14">
        <f t="shared" si="4"/>
        <v>8.5020242914979764</v>
      </c>
      <c r="AB48" s="4"/>
      <c r="AC48" s="4">
        <v>1</v>
      </c>
      <c r="AD48" s="4">
        <v>246</v>
      </c>
      <c r="AE48" s="4">
        <v>247</v>
      </c>
      <c r="AF48">
        <f t="shared" si="0"/>
        <v>0.40485829959514169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 threshold,pit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2026-04-06T11:07:24Z</dcterms:modified>
</cp:coreProperties>
</file>